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https://d.docs.live.net/6694c059910bc697/Fatec 1 Semestre/Programação em Microinformatica (Excel)/ACEESS/BOM PRA CAHORRO/"/>
    </mc:Choice>
  </mc:AlternateContent>
  <xr:revisionPtr revIDLastSave="22" documentId="8_{9772FF0D-413F-4B4C-B679-25F4905620D3}" xr6:coauthVersionLast="47" xr6:coauthVersionMax="47" xr10:uidLastSave="{216B845E-3AB6-4B69-BC45-C30092E966B7}"/>
  <bookViews>
    <workbookView xWindow="-108" yWindow="-108" windowWidth="23256" windowHeight="12456" xr2:uid="{00000000-000D-0000-FFFF-FFFF00000000}"/>
  </bookViews>
  <sheets>
    <sheet name="Planilha2" sheetId="2" r:id="rId1"/>
    <sheet name="Planilha1" sheetId="3" r:id="rId2"/>
  </sheets>
  <definedNames>
    <definedName name="_xleta.AND" hidden="1" xlm="1">#NAME?</definedName>
    <definedName name="_xleta.N" hidden="1" xlm="1">#NAME?</definedName>
    <definedName name="_xleta.VLOOKUP" hidden="1" xlm="1">#NAME?</definedName>
    <definedName name="DadosExternos_1" localSheetId="0" hidden="1">Planilha2!#REF!</definedName>
    <definedName name="db_petshop.accdb" localSheetId="0" hidden="1">Planilha2!$A$34:$L$39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3" i="2" l="1"/>
  <c r="E11" i="2" s="1"/>
  <c r="C4" i="2"/>
  <c r="B4" i="2"/>
  <c r="A4" i="2"/>
  <c r="B45" i="2"/>
  <c r="B46" i="2" s="1"/>
  <c r="C63" i="2"/>
  <c r="D63" i="2"/>
  <c r="E63" i="2"/>
  <c r="F63" i="2"/>
  <c r="B63" i="2"/>
  <c r="B43" i="2"/>
  <c r="B47" i="2" s="1"/>
  <c r="B42" i="2"/>
  <c r="F16" i="2" l="1"/>
  <c r="F25" i="2"/>
  <c r="E2" i="2" s="1"/>
  <c r="D13" i="2" l="1"/>
  <c r="F13" i="2" s="1"/>
  <c r="C23" i="2"/>
  <c r="D23" i="2" s="1"/>
  <c r="B23" i="2"/>
  <c r="F15" i="2"/>
  <c r="F2" i="2"/>
  <c r="B27" i="2" s="1"/>
  <c r="B28" i="2" l="1"/>
  <c r="B29" i="2" s="1"/>
  <c r="F7" i="2" s="1"/>
  <c r="E10" i="2" l="1"/>
  <c r="E9" i="2"/>
  <c r="E7" i="2"/>
  <c r="B30" i="2"/>
  <c r="B32" i="2" s="1"/>
  <c r="F8" i="2" l="1"/>
  <c r="E8" i="2"/>
  <c r="E19" i="2" l="1"/>
  <c r="D12" i="2" s="1"/>
  <c r="F12" i="2" s="1"/>
  <c r="F23" i="2" l="1"/>
  <c r="F14" i="2"/>
  <c r="F19" i="2" s="1"/>
  <c r="E23" i="2" s="1"/>
  <c r="E21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sourceFile="C:\Users\aluno\Desktop\db_petshop.accdb" keepAlive="1" name="db_petshop" type="5" refreshedVersion="6" minRefreshableVersion="3" background="1" saveData="1">
    <dbPr connection="Provider=Microsoft.ACE.OLEDB.12.0;User ID=Admin;Data Source=C:\Users\aluno\Desktop\db_petshop.accdb;Mode=ReadWrite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Funcionários" commandType="3"/>
  </connection>
</connections>
</file>

<file path=xl/sharedStrings.xml><?xml version="1.0" encoding="utf-8"?>
<sst xmlns="http://schemas.openxmlformats.org/spreadsheetml/2006/main" count="101" uniqueCount="96">
  <si>
    <t xml:space="preserve">COD. </t>
  </si>
  <si>
    <t>NOME DO FUNCIONÁRIO</t>
  </si>
  <si>
    <t>FUNÇÃO</t>
  </si>
  <si>
    <t>SALÁRIO</t>
  </si>
  <si>
    <t>DSR</t>
  </si>
  <si>
    <t>HORAS EXTRAS - 50%</t>
  </si>
  <si>
    <t>HORAS EXTRAS - 100%</t>
  </si>
  <si>
    <t>ADIANTAMENTO QUINZENAL</t>
  </si>
  <si>
    <t>IR RETIDO</t>
  </si>
  <si>
    <t>INSS</t>
  </si>
  <si>
    <t>FGTS</t>
  </si>
  <si>
    <t>DESCONTOS</t>
  </si>
  <si>
    <t>VALE ALIMENTAÇÃO</t>
  </si>
  <si>
    <t>REFERENCIA</t>
  </si>
  <si>
    <t>VENCIMENTOS</t>
  </si>
  <si>
    <t>DESCRIÇÃO</t>
  </si>
  <si>
    <t>CONVÊNCIO MÉDICO</t>
  </si>
  <si>
    <t xml:space="preserve">MÊS </t>
  </si>
  <si>
    <t>ANO</t>
  </si>
  <si>
    <t>SALÁRIO BASE</t>
  </si>
  <si>
    <t>SAL. CONTR. INSS</t>
  </si>
  <si>
    <t>BASE CALC. FGTS</t>
  </si>
  <si>
    <t>BASE CAL. IRRF</t>
  </si>
  <si>
    <t>FAIXA IRRF</t>
  </si>
  <si>
    <t>SALÁRIO LIQUIDO</t>
  </si>
  <si>
    <t>TOTAL DE VENCIMENTOS</t>
  </si>
  <si>
    <t>TOTAL DE DESCONTOS</t>
  </si>
  <si>
    <t>Código do Funcionário</t>
  </si>
  <si>
    <t>Nome</t>
  </si>
  <si>
    <t>CPF</t>
  </si>
  <si>
    <t>Estado Civil</t>
  </si>
  <si>
    <t>Data de Nascimento</t>
  </si>
  <si>
    <t>Função</t>
  </si>
  <si>
    <t>Data da Contratação</t>
  </si>
  <si>
    <t>Salário Base</t>
  </si>
  <si>
    <t>Número de Filhos</t>
  </si>
  <si>
    <t>Agência Bancária</t>
  </si>
  <si>
    <t>Conta Corrente</t>
  </si>
  <si>
    <t>E-mail</t>
  </si>
  <si>
    <t>Luisa Mell</t>
  </si>
  <si>
    <t>99999999999</t>
  </si>
  <si>
    <t>Solteira</t>
  </si>
  <si>
    <t>Gerente</t>
  </si>
  <si>
    <t>Richard Rasmussen</t>
  </si>
  <si>
    <t>88888888888</t>
  </si>
  <si>
    <t>Solteiro</t>
  </si>
  <si>
    <t>Tosador</t>
  </si>
  <si>
    <t>Cesar Millan</t>
  </si>
  <si>
    <t>77777777777</t>
  </si>
  <si>
    <t>Casado</t>
  </si>
  <si>
    <t>Pablo Marçal</t>
  </si>
  <si>
    <t>66666666666</t>
  </si>
  <si>
    <t>Vendedor</t>
  </si>
  <si>
    <t>Luciano Hang</t>
  </si>
  <si>
    <t>98765432106</t>
  </si>
  <si>
    <t>richardmussen@gmail.com#mailto:richardmussen@gmail.com</t>
  </si>
  <si>
    <t>cesarvillan@outlook.com#mailto:cesarvillan@outlook.com</t>
  </si>
  <si>
    <t>CNPJ</t>
  </si>
  <si>
    <t>NOME DA EMPRESA</t>
  </si>
  <si>
    <t>Recibo de Pagamento de Salário</t>
  </si>
  <si>
    <t>FGTS DO MÊS</t>
  </si>
  <si>
    <t>DATA</t>
  </si>
  <si>
    <t>Bom Pra Cachorro</t>
  </si>
  <si>
    <t>00.123.456/7890-00</t>
  </si>
  <si>
    <t>Dias Uteis</t>
  </si>
  <si>
    <t>Fim de mês</t>
  </si>
  <si>
    <t>Início de mês</t>
  </si>
  <si>
    <t>Dias do Mês</t>
  </si>
  <si>
    <t>Domingo</t>
  </si>
  <si>
    <t>luisamell@gmail.com#mailto:luisamell@gmail.com</t>
  </si>
  <si>
    <t>pablomarcal@bol.com.br#mailto:pablomarcal@bol.com.br</t>
  </si>
  <si>
    <t>veiodahavan@gmail.com#mailto:veiodahavan@gmail.com</t>
  </si>
  <si>
    <t>Mês</t>
  </si>
  <si>
    <t>Funcionário</t>
  </si>
  <si>
    <t xml:space="preserve">Salário Liquido </t>
  </si>
  <si>
    <t>Código Funcionário</t>
  </si>
  <si>
    <t>HORASA EXTRAS POR FUNCIONARIO (R$)</t>
  </si>
  <si>
    <t>VENDAS (R$)</t>
  </si>
  <si>
    <t>TOSAS NO MÊS (R$)</t>
  </si>
  <si>
    <t>PACOTES MENSAIS (R$)</t>
  </si>
  <si>
    <t>Bonus mensal:</t>
  </si>
  <si>
    <t>* 12% fixos de bonificação sobre o valor mensal dos pacotes vendidos.</t>
  </si>
  <si>
    <t>Férias:</t>
  </si>
  <si>
    <t>* Salário liquido + 1/3 do salário + media das horas extras realizadas no ano.</t>
  </si>
  <si>
    <t>Férias (R$)</t>
  </si>
  <si>
    <t>Bonus Mensal (R$)</t>
  </si>
  <si>
    <t>MÉDIA</t>
  </si>
  <si>
    <t>* Se as tosas forem até R$3000,00, 5% de bonus sobre o valor; se for de R$3001,00 até R$4500,00, 7,5%; se for de R$4501,00 até R$6000,00, 10%; acima de R$6000,00, 15% mais $500,00 reais de bonificação.</t>
  </si>
  <si>
    <t>* Se as vendas forem até R$400,00, 2,5% de bonus sobre o valor; se for de R$401,00 até R$600,00, 3,5%; se for de R$601,00 até R$1000,00, 5%; acima de R$1000,00, 7,5% de bonificação.</t>
  </si>
  <si>
    <t>Ganhos do Mês</t>
  </si>
  <si>
    <t>MESES</t>
  </si>
  <si>
    <t>* Salário é em função do salário base dividido pelo numero de dias que deveriam ser trabalhados no mês atual e multiplicado pelos dias efetivamente trabalhados naquele mês.</t>
  </si>
  <si>
    <t>* DSR é em função do vencimento d salário multiplicado pelos domingos trabalhados, dividido pelo total de domingos no mês.</t>
  </si>
  <si>
    <t>* Horas Extra 100% é 100% do valor do dia trabalhado .</t>
  </si>
  <si>
    <t>* Horas Extra 50% é 50% do valor do dia trabalhado.</t>
  </si>
  <si>
    <t>* Adiantamento quinzenal é 30% do salário base.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</si>
</sst>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0.0%"/>
    <numFmt numFmtId="165" formatCode="mmmm\,\ yyyy;@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4"/>
      <color theme="9" tint="-0.249977111117893"/>
      <name val="Calibri"/>
      <family val="2"/>
      <scheme val="minor"/>
    </font>
    <font>
      <b/>
      <sz val="12"/>
      <color theme="9" tint="-0.249977111117893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theme="9" tint="0.40000610370189521"/>
        </stop>
      </gradientFill>
    </fill>
    <fill>
      <gradientFill>
        <stop position="0">
          <color theme="0"/>
        </stop>
        <stop position="1">
          <color theme="9" tint="0.40000610370189521"/>
        </stop>
      </gradient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</fills>
  <borders count="7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medium">
        <color indexed="64"/>
      </right>
      <top/>
      <bottom style="thin">
        <color theme="0" tint="-0.24994659260841701"/>
      </bottom>
      <diagonal/>
    </border>
    <border>
      <left style="medium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medium">
        <color indexed="64"/>
      </right>
      <top style="thin">
        <color theme="0" tint="-0.2499465926084170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148">
    <xf numFmtId="0" fontId="0" fillId="0" borderId="0" xfId="0"/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44" fontId="0" fillId="0" borderId="0" xfId="1" applyFont="1" applyAlignment="1">
      <alignment horizontal="center"/>
    </xf>
    <xf numFmtId="0" fontId="3" fillId="0" borderId="0" xfId="3" applyAlignment="1">
      <alignment horizontal="center"/>
    </xf>
    <xf numFmtId="0" fontId="0" fillId="0" borderId="5" xfId="0" applyBorder="1"/>
    <xf numFmtId="0" fontId="0" fillId="0" borderId="4" xfId="0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5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0" xfId="0" applyFill="1"/>
    <xf numFmtId="0" fontId="0" fillId="2" borderId="5" xfId="0" applyFill="1" applyBorder="1"/>
    <xf numFmtId="0" fontId="0" fillId="2" borderId="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6" xfId="0" applyFill="1" applyBorder="1"/>
    <xf numFmtId="0" fontId="0" fillId="2" borderId="7" xfId="0" applyFill="1" applyBorder="1"/>
    <xf numFmtId="0" fontId="4" fillId="2" borderId="1" xfId="0" applyFont="1" applyFill="1" applyBorder="1"/>
    <xf numFmtId="0" fontId="4" fillId="2" borderId="4" xfId="0" applyFont="1" applyFill="1" applyBorder="1"/>
    <xf numFmtId="0" fontId="4" fillId="2" borderId="4" xfId="0" applyFont="1" applyFill="1" applyBorder="1" applyAlignment="1">
      <alignment horizontal="center"/>
    </xf>
    <xf numFmtId="0" fontId="4" fillId="2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4" fillId="3" borderId="5" xfId="0" applyFont="1" applyFill="1" applyBorder="1" applyAlignment="1">
      <alignment horizontal="center"/>
    </xf>
    <xf numFmtId="2" fontId="0" fillId="3" borderId="0" xfId="0" applyNumberFormat="1" applyFill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4" fillId="0" borderId="4" xfId="0" applyFont="1" applyBorder="1"/>
    <xf numFmtId="0" fontId="0" fillId="0" borderId="5" xfId="0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4" fillId="2" borderId="7" xfId="0" applyFont="1" applyFill="1" applyBorder="1"/>
    <xf numFmtId="2" fontId="0" fillId="3" borderId="5" xfId="0" applyNumberFormat="1" applyFill="1" applyBorder="1" applyAlignment="1">
      <alignment horizontal="center"/>
    </xf>
    <xf numFmtId="2" fontId="0" fillId="2" borderId="4" xfId="0" applyNumberFormat="1" applyFill="1" applyBorder="1" applyAlignment="1">
      <alignment horizontal="center"/>
    </xf>
    <xf numFmtId="2" fontId="0" fillId="2" borderId="0" xfId="0" applyNumberFormat="1" applyFill="1" applyAlignment="1">
      <alignment horizontal="center"/>
    </xf>
    <xf numFmtId="0" fontId="0" fillId="0" borderId="12" xfId="0" applyBorder="1" applyAlignment="1">
      <alignment horizontal="center"/>
    </xf>
    <xf numFmtId="0" fontId="2" fillId="2" borderId="2" xfId="0" applyFont="1" applyFill="1" applyBorder="1"/>
    <xf numFmtId="0" fontId="2" fillId="2" borderId="0" xfId="0" applyFont="1" applyFill="1"/>
    <xf numFmtId="14" fontId="2" fillId="2" borderId="0" xfId="0" applyNumberFormat="1" applyFont="1" applyFill="1" applyAlignment="1">
      <alignment horizontal="center"/>
    </xf>
    <xf numFmtId="14" fontId="2" fillId="2" borderId="8" xfId="0" applyNumberFormat="1" applyFont="1" applyFill="1" applyBorder="1" applyAlignment="1">
      <alignment horizontal="left"/>
    </xf>
    <xf numFmtId="0" fontId="6" fillId="3" borderId="16" xfId="0" applyFont="1" applyFill="1" applyBorder="1" applyAlignment="1">
      <alignment horizontal="center"/>
    </xf>
    <xf numFmtId="0" fontId="6" fillId="3" borderId="17" xfId="0" applyFont="1" applyFill="1" applyBorder="1" applyAlignment="1">
      <alignment horizontal="center"/>
    </xf>
    <xf numFmtId="2" fontId="0" fillId="3" borderId="19" xfId="0" applyNumberFormat="1" applyFill="1" applyBorder="1" applyAlignment="1">
      <alignment horizontal="center"/>
    </xf>
    <xf numFmtId="2" fontId="0" fillId="3" borderId="20" xfId="0" applyNumberFormat="1" applyFill="1" applyBorder="1" applyAlignment="1">
      <alignment horizontal="center"/>
    </xf>
    <xf numFmtId="0" fontId="0" fillId="3" borderId="19" xfId="0" applyFill="1" applyBorder="1" applyAlignment="1">
      <alignment horizontal="center"/>
    </xf>
    <xf numFmtId="9" fontId="0" fillId="3" borderId="19" xfId="0" applyNumberFormat="1" applyFill="1" applyBorder="1" applyAlignment="1">
      <alignment horizontal="center"/>
    </xf>
    <xf numFmtId="164" fontId="0" fillId="3" borderId="19" xfId="0" applyNumberFormat="1" applyFill="1" applyBorder="1" applyAlignment="1">
      <alignment horizontal="center"/>
    </xf>
    <xf numFmtId="164" fontId="0" fillId="3" borderId="22" xfId="0" applyNumberFormat="1" applyFill="1" applyBorder="1" applyAlignment="1">
      <alignment horizontal="center"/>
    </xf>
    <xf numFmtId="2" fontId="0" fillId="3" borderId="22" xfId="0" applyNumberFormat="1" applyFill="1" applyBorder="1" applyAlignment="1">
      <alignment horizontal="center"/>
    </xf>
    <xf numFmtId="2" fontId="0" fillId="3" borderId="23" xfId="0" applyNumberFormat="1" applyFill="1" applyBorder="1" applyAlignment="1">
      <alignment horizontal="center"/>
    </xf>
    <xf numFmtId="164" fontId="0" fillId="3" borderId="19" xfId="2" applyNumberFormat="1" applyFont="1" applyFill="1" applyBorder="1" applyAlignment="1">
      <alignment horizontal="center"/>
    </xf>
    <xf numFmtId="44" fontId="0" fillId="0" borderId="30" xfId="1" applyFont="1" applyBorder="1"/>
    <xf numFmtId="0" fontId="2" fillId="0" borderId="0" xfId="0" applyFont="1"/>
    <xf numFmtId="44" fontId="0" fillId="0" borderId="28" xfId="1" applyFont="1" applyBorder="1"/>
    <xf numFmtId="44" fontId="0" fillId="0" borderId="29" xfId="1" applyFont="1" applyBorder="1"/>
    <xf numFmtId="44" fontId="0" fillId="0" borderId="12" xfId="1" applyFont="1" applyBorder="1"/>
    <xf numFmtId="44" fontId="0" fillId="0" borderId="14" xfId="1" applyFont="1" applyBorder="1"/>
    <xf numFmtId="0" fontId="10" fillId="4" borderId="25" xfId="0" applyFont="1" applyFill="1" applyBorder="1" applyAlignment="1">
      <alignment horizontal="center"/>
    </xf>
    <xf numFmtId="0" fontId="8" fillId="4" borderId="26" xfId="0" applyFont="1" applyFill="1" applyBorder="1" applyAlignment="1">
      <alignment horizontal="center"/>
    </xf>
    <xf numFmtId="0" fontId="8" fillId="4" borderId="27" xfId="0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165" fontId="0" fillId="0" borderId="12" xfId="0" applyNumberFormat="1" applyBorder="1"/>
    <xf numFmtId="44" fontId="0" fillId="0" borderId="36" xfId="1" applyFont="1" applyBorder="1"/>
    <xf numFmtId="44" fontId="0" fillId="0" borderId="26" xfId="0" applyNumberFormat="1" applyBorder="1"/>
    <xf numFmtId="0" fontId="2" fillId="5" borderId="25" xfId="0" applyFont="1" applyFill="1" applyBorder="1"/>
    <xf numFmtId="0" fontId="10" fillId="4" borderId="38" xfId="0" applyFont="1" applyFill="1" applyBorder="1" applyAlignment="1">
      <alignment horizontal="center"/>
    </xf>
    <xf numFmtId="0" fontId="8" fillId="4" borderId="39" xfId="0" applyFont="1" applyFill="1" applyBorder="1" applyAlignment="1">
      <alignment horizontal="center"/>
    </xf>
    <xf numFmtId="44" fontId="0" fillId="0" borderId="40" xfId="1" applyFont="1" applyBorder="1"/>
    <xf numFmtId="44" fontId="0" fillId="0" borderId="37" xfId="1" applyFont="1" applyBorder="1"/>
    <xf numFmtId="44" fontId="0" fillId="0" borderId="41" xfId="1" applyFont="1" applyBorder="1"/>
    <xf numFmtId="0" fontId="8" fillId="4" borderId="43" xfId="0" applyFont="1" applyFill="1" applyBorder="1" applyAlignment="1">
      <alignment horizontal="center"/>
    </xf>
    <xf numFmtId="44" fontId="0" fillId="0" borderId="44" xfId="1" applyFont="1" applyBorder="1"/>
    <xf numFmtId="44" fontId="0" fillId="0" borderId="45" xfId="1" applyFont="1" applyBorder="1"/>
    <xf numFmtId="44" fontId="0" fillId="0" borderId="46" xfId="1" applyFont="1" applyBorder="1"/>
    <xf numFmtId="44" fontId="0" fillId="0" borderId="43" xfId="0" applyNumberFormat="1" applyBorder="1"/>
    <xf numFmtId="0" fontId="8" fillId="4" borderId="38" xfId="0" applyFont="1" applyFill="1" applyBorder="1" applyAlignment="1">
      <alignment horizontal="center"/>
    </xf>
    <xf numFmtId="44" fontId="0" fillId="0" borderId="47" xfId="1" applyFont="1" applyBorder="1"/>
    <xf numFmtId="44" fontId="0" fillId="0" borderId="48" xfId="1" applyFont="1" applyBorder="1"/>
    <xf numFmtId="44" fontId="0" fillId="0" borderId="49" xfId="1" applyFont="1" applyBorder="1"/>
    <xf numFmtId="0" fontId="8" fillId="4" borderId="52" xfId="0" applyFont="1" applyFill="1" applyBorder="1" applyAlignment="1">
      <alignment horizontal="center"/>
    </xf>
    <xf numFmtId="44" fontId="0" fillId="0" borderId="53" xfId="1" applyFont="1" applyBorder="1"/>
    <xf numFmtId="44" fontId="0" fillId="0" borderId="54" xfId="1" applyFont="1" applyBorder="1"/>
    <xf numFmtId="44" fontId="0" fillId="0" borderId="55" xfId="1" applyFont="1" applyBorder="1"/>
    <xf numFmtId="44" fontId="0" fillId="0" borderId="56" xfId="1" applyFont="1" applyBorder="1"/>
    <xf numFmtId="0" fontId="8" fillId="4" borderId="9" xfId="0" applyFont="1" applyFill="1" applyBorder="1"/>
    <xf numFmtId="0" fontId="8" fillId="4" borderId="11" xfId="0" applyFont="1" applyFill="1" applyBorder="1"/>
    <xf numFmtId="0" fontId="0" fillId="0" borderId="30" xfId="0" applyBorder="1" applyAlignment="1">
      <alignment horizontal="center"/>
    </xf>
    <xf numFmtId="0" fontId="11" fillId="0" borderId="0" xfId="0" applyFont="1" applyAlignment="1">
      <alignment horizontal="right"/>
    </xf>
    <xf numFmtId="14" fontId="0" fillId="0" borderId="66" xfId="0" applyNumberFormat="1" applyBorder="1" applyAlignment="1">
      <alignment horizontal="center"/>
    </xf>
    <xf numFmtId="14" fontId="0" fillId="0" borderId="67" xfId="0" applyNumberFormat="1" applyBorder="1" applyAlignment="1">
      <alignment horizontal="center"/>
    </xf>
    <xf numFmtId="0" fontId="0" fillId="0" borderId="67" xfId="0" applyBorder="1" applyAlignment="1">
      <alignment horizontal="center"/>
    </xf>
    <xf numFmtId="1" fontId="0" fillId="0" borderId="67" xfId="0" applyNumberFormat="1" applyBorder="1" applyAlignment="1">
      <alignment horizontal="center"/>
    </xf>
    <xf numFmtId="1" fontId="0" fillId="0" borderId="68" xfId="0" applyNumberFormat="1" applyBorder="1" applyAlignment="1">
      <alignment horizontal="center"/>
    </xf>
    <xf numFmtId="0" fontId="8" fillId="4" borderId="69" xfId="0" applyFont="1" applyFill="1" applyBorder="1" applyAlignment="1">
      <alignment horizontal="center"/>
    </xf>
    <xf numFmtId="0" fontId="8" fillId="4" borderId="70" xfId="0" applyFont="1" applyFill="1" applyBorder="1" applyAlignment="1">
      <alignment horizontal="center"/>
    </xf>
    <xf numFmtId="0" fontId="8" fillId="4" borderId="71" xfId="0" applyFont="1" applyFill="1" applyBorder="1" applyAlignment="1">
      <alignment horizontal="center"/>
    </xf>
    <xf numFmtId="0" fontId="0" fillId="0" borderId="37" xfId="0" applyBorder="1" applyAlignment="1">
      <alignment horizontal="center"/>
    </xf>
    <xf numFmtId="14" fontId="0" fillId="0" borderId="30" xfId="0" applyNumberFormat="1" applyBorder="1" applyAlignment="1">
      <alignment horizontal="center"/>
    </xf>
    <xf numFmtId="44" fontId="0" fillId="0" borderId="30" xfId="1" applyFont="1" applyBorder="1" applyAlignment="1">
      <alignment horizontal="center"/>
    </xf>
    <xf numFmtId="0" fontId="3" fillId="0" borderId="57" xfId="3" applyBorder="1" applyAlignment="1">
      <alignment horizontal="center"/>
    </xf>
    <xf numFmtId="0" fontId="0" fillId="0" borderId="72" xfId="0" applyBorder="1" applyAlignment="1">
      <alignment horizontal="center"/>
    </xf>
    <xf numFmtId="0" fontId="0" fillId="0" borderId="36" xfId="0" applyBorder="1" applyAlignment="1">
      <alignment horizontal="center"/>
    </xf>
    <xf numFmtId="14" fontId="0" fillId="0" borderId="36" xfId="0" applyNumberFormat="1" applyBorder="1" applyAlignment="1">
      <alignment horizontal="center"/>
    </xf>
    <xf numFmtId="44" fontId="0" fillId="0" borderId="36" xfId="1" applyFont="1" applyBorder="1" applyAlignment="1">
      <alignment horizontal="center"/>
    </xf>
    <xf numFmtId="0" fontId="3" fillId="0" borderId="73" xfId="3" applyBorder="1" applyAlignment="1">
      <alignment horizontal="center"/>
    </xf>
    <xf numFmtId="0" fontId="2" fillId="0" borderId="40" xfId="0" applyFont="1" applyBorder="1"/>
    <xf numFmtId="0" fontId="2" fillId="0" borderId="28" xfId="0" applyFont="1" applyBorder="1"/>
    <xf numFmtId="0" fontId="2" fillId="0" borderId="65" xfId="0" applyFont="1" applyBorder="1"/>
    <xf numFmtId="17" fontId="12" fillId="0" borderId="34" xfId="0" applyNumberFormat="1" applyFont="1" applyBorder="1"/>
    <xf numFmtId="17" fontId="12" fillId="0" borderId="11" xfId="0" applyNumberFormat="1" applyFont="1" applyBorder="1"/>
    <xf numFmtId="17" fontId="12" fillId="0" borderId="35" xfId="0" applyNumberFormat="1" applyFont="1" applyBorder="1"/>
    <xf numFmtId="0" fontId="0" fillId="0" borderId="0" xfId="0" applyAlignment="1">
      <alignment textRotation="90"/>
    </xf>
    <xf numFmtId="0" fontId="0" fillId="0" borderId="31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13" fillId="0" borderId="9" xfId="0" applyFont="1" applyBorder="1" applyAlignment="1">
      <alignment horizontal="center" vertical="center" textRotation="90"/>
    </xf>
    <xf numFmtId="0" fontId="13" fillId="0" borderId="11" xfId="0" applyFont="1" applyBorder="1" applyAlignment="1">
      <alignment horizontal="center" vertical="center" textRotation="90"/>
    </xf>
    <xf numFmtId="0" fontId="13" fillId="0" borderId="13" xfId="0" applyFont="1" applyBorder="1" applyAlignment="1">
      <alignment horizontal="center" vertical="center" textRotation="90"/>
    </xf>
    <xf numFmtId="0" fontId="0" fillId="0" borderId="58" xfId="0" applyBorder="1" applyAlignment="1">
      <alignment horizontal="left" vertical="center" wrapText="1"/>
    </xf>
    <xf numFmtId="0" fontId="0" fillId="0" borderId="10" xfId="0" applyBorder="1" applyAlignment="1">
      <alignment horizontal="left" vertical="center" wrapText="1"/>
    </xf>
    <xf numFmtId="0" fontId="0" fillId="0" borderId="30" xfId="0" applyBorder="1" applyAlignment="1">
      <alignment horizontal="left" vertical="center" wrapText="1"/>
    </xf>
    <xf numFmtId="0" fontId="0" fillId="0" borderId="12" xfId="0" applyBorder="1" applyAlignment="1">
      <alignment horizontal="left" vertical="center" wrapText="1"/>
    </xf>
    <xf numFmtId="0" fontId="0" fillId="0" borderId="30" xfId="0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5" fillId="2" borderId="2" xfId="0" applyFont="1" applyFill="1" applyBorder="1" applyAlignment="1">
      <alignment horizontal="left"/>
    </xf>
    <xf numFmtId="0" fontId="5" fillId="2" borderId="3" xfId="0" applyFont="1" applyFill="1" applyBorder="1" applyAlignment="1">
      <alignment horizontal="left"/>
    </xf>
    <xf numFmtId="0" fontId="0" fillId="2" borderId="0" xfId="0" applyFill="1" applyAlignment="1">
      <alignment horizontal="center"/>
    </xf>
    <xf numFmtId="0" fontId="6" fillId="3" borderId="15" xfId="0" applyFont="1" applyFill="1" applyBorder="1" applyAlignment="1">
      <alignment horizontal="left"/>
    </xf>
    <xf numFmtId="0" fontId="6" fillId="3" borderId="16" xfId="0" applyFont="1" applyFill="1" applyBorder="1" applyAlignment="1">
      <alignment horizontal="left"/>
    </xf>
    <xf numFmtId="0" fontId="4" fillId="3" borderId="18" xfId="0" applyFont="1" applyFill="1" applyBorder="1" applyAlignment="1">
      <alignment horizontal="left"/>
    </xf>
    <xf numFmtId="0" fontId="4" fillId="3" borderId="19" xfId="0" applyFont="1" applyFill="1" applyBorder="1" applyAlignment="1">
      <alignment horizontal="left"/>
    </xf>
    <xf numFmtId="0" fontId="4" fillId="2" borderId="0" xfId="0" applyFont="1" applyFill="1" applyAlignment="1">
      <alignment horizontal="center"/>
    </xf>
    <xf numFmtId="0" fontId="8" fillId="4" borderId="32" xfId="0" applyFont="1" applyFill="1" applyBorder="1" applyAlignment="1">
      <alignment horizontal="center"/>
    </xf>
    <xf numFmtId="0" fontId="8" fillId="4" borderId="33" xfId="0" applyFont="1" applyFill="1" applyBorder="1" applyAlignment="1">
      <alignment horizontal="center"/>
    </xf>
    <xf numFmtId="0" fontId="8" fillId="4" borderId="42" xfId="0" applyFont="1" applyFill="1" applyBorder="1" applyAlignment="1">
      <alignment horizontal="center"/>
    </xf>
    <xf numFmtId="0" fontId="8" fillId="4" borderId="38" xfId="0" applyFont="1" applyFill="1" applyBorder="1" applyAlignment="1">
      <alignment horizontal="center"/>
    </xf>
    <xf numFmtId="0" fontId="8" fillId="4" borderId="24" xfId="0" applyFont="1" applyFill="1" applyBorder="1" applyAlignment="1">
      <alignment horizontal="center"/>
    </xf>
    <xf numFmtId="0" fontId="8" fillId="4" borderId="50" xfId="0" applyFont="1" applyFill="1" applyBorder="1" applyAlignment="1">
      <alignment horizontal="center"/>
    </xf>
    <xf numFmtId="0" fontId="8" fillId="4" borderId="51" xfId="0" applyFont="1" applyFill="1" applyBorder="1" applyAlignment="1">
      <alignment horizontal="center"/>
    </xf>
    <xf numFmtId="0" fontId="0" fillId="0" borderId="11" xfId="0" applyBorder="1"/>
    <xf numFmtId="0" fontId="0" fillId="0" borderId="30" xfId="0" applyBorder="1"/>
    <xf numFmtId="0" fontId="0" fillId="0" borderId="12" xfId="0" applyBorder="1"/>
    <xf numFmtId="0" fontId="0" fillId="0" borderId="62" xfId="0" applyBorder="1"/>
    <xf numFmtId="0" fontId="0" fillId="0" borderId="63" xfId="0" applyBorder="1"/>
    <xf numFmtId="0" fontId="0" fillId="0" borderId="64" xfId="0" applyBorder="1"/>
    <xf numFmtId="0" fontId="0" fillId="0" borderId="59" xfId="0" applyBorder="1"/>
    <xf numFmtId="0" fontId="0" fillId="0" borderId="60" xfId="0" applyBorder="1"/>
    <xf numFmtId="0" fontId="0" fillId="0" borderId="61" xfId="0" applyBorder="1"/>
    <xf numFmtId="0" fontId="4" fillId="3" borderId="21" xfId="0" applyFont="1" applyFill="1" applyBorder="1" applyAlignment="1">
      <alignment horizontal="left"/>
    </xf>
    <xf numFmtId="0" fontId="4" fillId="3" borderId="22" xfId="0" applyFont="1" applyFill="1" applyBorder="1" applyAlignment="1">
      <alignment horizontal="left"/>
    </xf>
    <xf numFmtId="0" fontId="0" fillId="3" borderId="4" xfId="0" applyFill="1" applyBorder="1" applyAlignment="1">
      <alignment horizontal="center"/>
    </xf>
    <xf numFmtId="0" fontId="0" fillId="3" borderId="0" xfId="0" applyFill="1" applyAlignment="1">
      <alignment horizontal="center"/>
    </xf>
  </cellXfs>
  <cellStyles count="4">
    <cellStyle name="Hiperlink" xfId="3" builtinId="8"/>
    <cellStyle name="Moeda" xfId="1" builtinId="4"/>
    <cellStyle name="Normal" xfId="0" builtinId="0"/>
    <cellStyle name="Porcentagem" xfId="2" builtinId="5"/>
  </cellStyles>
  <dxfs count="17"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</xdr:colOff>
          <xdr:row>5</xdr:row>
          <xdr:rowOff>60960</xdr:rowOff>
        </xdr:from>
        <xdr:to>
          <xdr:col>6</xdr:col>
          <xdr:colOff>1371600</xdr:colOff>
          <xdr:row>6</xdr:row>
          <xdr:rowOff>114300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</xdr:colOff>
          <xdr:row>6</xdr:row>
          <xdr:rowOff>160020</xdr:rowOff>
        </xdr:from>
        <xdr:to>
          <xdr:col>6</xdr:col>
          <xdr:colOff>1371600</xdr:colOff>
          <xdr:row>7</xdr:row>
          <xdr:rowOff>220980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FUNCIONARIO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</xdr:colOff>
          <xdr:row>8</xdr:row>
          <xdr:rowOff>7620</xdr:rowOff>
        </xdr:from>
        <xdr:to>
          <xdr:col>6</xdr:col>
          <xdr:colOff>1371600</xdr:colOff>
          <xdr:row>9</xdr:row>
          <xdr:rowOff>68580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FUNCIONARIO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</xdr:colOff>
          <xdr:row>9</xdr:row>
          <xdr:rowOff>114300</xdr:rowOff>
        </xdr:from>
        <xdr:to>
          <xdr:col>6</xdr:col>
          <xdr:colOff>1371600</xdr:colOff>
          <xdr:row>10</xdr:row>
          <xdr:rowOff>175260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FUNCIONARIO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</xdr:colOff>
          <xdr:row>10</xdr:row>
          <xdr:rowOff>213360</xdr:rowOff>
        </xdr:from>
        <xdr:to>
          <xdr:col>6</xdr:col>
          <xdr:colOff>1371600</xdr:colOff>
          <xdr:row>12</xdr:row>
          <xdr:rowOff>22860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FUNCIONARIO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</xdr:colOff>
          <xdr:row>12</xdr:row>
          <xdr:rowOff>68580</xdr:rowOff>
        </xdr:from>
        <xdr:to>
          <xdr:col>6</xdr:col>
          <xdr:colOff>1371600</xdr:colOff>
          <xdr:row>13</xdr:row>
          <xdr:rowOff>121920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FUNCIONARIO 6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108859</xdr:colOff>
      <xdr:row>15</xdr:row>
      <xdr:rowOff>32838</xdr:rowOff>
    </xdr:from>
    <xdr:to>
      <xdr:col>8</xdr:col>
      <xdr:colOff>286022</xdr:colOff>
      <xdr:row>22</xdr:row>
      <xdr:rowOff>65338</xdr:rowOff>
    </xdr:to>
    <xdr:pic>
      <xdr:nvPicPr>
        <xdr:cNvPr id="2" name="Imagem 1" descr="tabela-imposto-de-renda-2024-1">
          <a:extLst>
            <a:ext uri="{FF2B5EF4-FFF2-40B4-BE49-F238E27FC236}">
              <a16:creationId xmlns:a16="http://schemas.microsoft.com/office/drawing/2014/main" id="{09802B81-3751-F766-6FC0-7FF0680040DC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4346"/>
        <a:stretch/>
      </xdr:blipFill>
      <xdr:spPr bwMode="auto">
        <a:xfrm>
          <a:off x="8763002" y="3643267"/>
          <a:ext cx="3061877" cy="162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6</xdr:col>
      <xdr:colOff>1351643</xdr:colOff>
      <xdr:row>14</xdr:row>
      <xdr:rowOff>18142</xdr:rowOff>
    </xdr:from>
    <xdr:ext cx="719236" cy="26456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A58391BB-9293-1C28-3085-75A1BF373DBE}"/>
            </a:ext>
          </a:extLst>
        </xdr:cNvPr>
        <xdr:cNvSpPr txBox="1"/>
      </xdr:nvSpPr>
      <xdr:spPr>
        <a:xfrm>
          <a:off x="10005786" y="3374571"/>
          <a:ext cx="719236" cy="26456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 b="1"/>
            <a:t>IR Retido</a:t>
          </a:r>
        </a:p>
      </xdr:txBody>
    </xdr:sp>
    <xdr:clientData/>
  </xdr:oneCellAnchor>
  <xdr:twoCellAnchor editAs="oneCell">
    <xdr:from>
      <xdr:col>8</xdr:col>
      <xdr:colOff>0</xdr:colOff>
      <xdr:row>18</xdr:row>
      <xdr:rowOff>0</xdr:rowOff>
    </xdr:from>
    <xdr:to>
      <xdr:col>8</xdr:col>
      <xdr:colOff>304800</xdr:colOff>
      <xdr:row>19</xdr:row>
      <xdr:rowOff>50800</xdr:rowOff>
    </xdr:to>
    <xdr:sp macro="" textlink="">
      <xdr:nvSpPr>
        <xdr:cNvPr id="2065" name="AutoShape 17">
          <a:extLst>
            <a:ext uri="{FF2B5EF4-FFF2-40B4-BE49-F238E27FC236}">
              <a16:creationId xmlns:a16="http://schemas.microsoft.com/office/drawing/2014/main" id="{8AA815F6-458D-8CC6-38CD-D7FFD4C2019E}"/>
            </a:ext>
          </a:extLst>
        </xdr:cNvPr>
        <xdr:cNvSpPr>
          <a:spLocks noChangeAspect="1" noChangeArrowheads="1"/>
        </xdr:cNvSpPr>
      </xdr:nvSpPr>
      <xdr:spPr bwMode="auto">
        <a:xfrm>
          <a:off x="11531600" y="418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952500</xdr:colOff>
      <xdr:row>15</xdr:row>
      <xdr:rowOff>36290</xdr:rowOff>
    </xdr:from>
    <xdr:to>
      <xdr:col>11</xdr:col>
      <xdr:colOff>7848</xdr:colOff>
      <xdr:row>22</xdr:row>
      <xdr:rowOff>68790</xdr:rowOff>
    </xdr:to>
    <xdr:pic>
      <xdr:nvPicPr>
        <xdr:cNvPr id="4" name="Imagem 3" descr="Tabela INSS e Salário Familia 2024">
          <a:extLst>
            <a:ext uri="{FF2B5EF4-FFF2-40B4-BE49-F238E27FC236}">
              <a16:creationId xmlns:a16="http://schemas.microsoft.com/office/drawing/2014/main" id="{896BAE6F-D7E2-4170-AF1E-87969F4F3DD7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21" t="36436" r="30460" b="38310"/>
        <a:stretch/>
      </xdr:blipFill>
      <xdr:spPr bwMode="auto">
        <a:xfrm>
          <a:off x="12491357" y="3646719"/>
          <a:ext cx="3382420" cy="162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9</xdr:col>
      <xdr:colOff>934357</xdr:colOff>
      <xdr:row>14</xdr:row>
      <xdr:rowOff>18143</xdr:rowOff>
    </xdr:from>
    <xdr:ext cx="448584" cy="264560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EAD067BE-EF7D-4427-BECC-1AB6251F6041}"/>
            </a:ext>
          </a:extLst>
        </xdr:cNvPr>
        <xdr:cNvSpPr txBox="1"/>
      </xdr:nvSpPr>
      <xdr:spPr>
        <a:xfrm>
          <a:off x="13915571" y="3374572"/>
          <a:ext cx="448584" cy="26456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 b="1"/>
            <a:t>INSS</a:t>
          </a:r>
        </a:p>
      </xdr:txBody>
    </xdr:sp>
    <xdr:clientData/>
  </xdr:oneCellAnchor>
  <xdr:twoCellAnchor editAs="oneCell">
    <xdr:from>
      <xdr:col>6</xdr:col>
      <xdr:colOff>90716</xdr:colOff>
      <xdr:row>24</xdr:row>
      <xdr:rowOff>9075</xdr:rowOff>
    </xdr:from>
    <xdr:to>
      <xdr:col>8</xdr:col>
      <xdr:colOff>865955</xdr:colOff>
      <xdr:row>32</xdr:row>
      <xdr:rowOff>86932</xdr:rowOff>
    </xdr:to>
    <xdr:pic>
      <xdr:nvPicPr>
        <xdr:cNvPr id="6" name="Imagem 5" descr="Digiliza – Cálculo FGTS, IRRF, INSS salário líquido">
          <a:extLst>
            <a:ext uri="{FF2B5EF4-FFF2-40B4-BE49-F238E27FC236}">
              <a16:creationId xmlns:a16="http://schemas.microsoft.com/office/drawing/2014/main" id="{EB0EDDA1-779E-4177-9E9A-EBC1C9BEC5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4859" y="5515432"/>
          <a:ext cx="3659953" cy="162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7</xdr:col>
      <xdr:colOff>217714</xdr:colOff>
      <xdr:row>22</xdr:row>
      <xdr:rowOff>81643</xdr:rowOff>
    </xdr:from>
    <xdr:ext cx="475836" cy="264560"/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723CADB3-81D3-4BF7-93CC-0C34D89FE435}"/>
            </a:ext>
          </a:extLst>
        </xdr:cNvPr>
        <xdr:cNvSpPr txBox="1"/>
      </xdr:nvSpPr>
      <xdr:spPr>
        <a:xfrm>
          <a:off x="10314214" y="5279572"/>
          <a:ext cx="475836" cy="26456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 b="1"/>
            <a:t>FGTS</a:t>
          </a:r>
        </a:p>
      </xdr:txBody>
    </xdr:sp>
    <xdr:clientData/>
  </xdr:oneCellAnchor>
  <xdr:oneCellAnchor>
    <xdr:from>
      <xdr:col>8</xdr:col>
      <xdr:colOff>306612</xdr:colOff>
      <xdr:row>15</xdr:row>
      <xdr:rowOff>252186</xdr:rowOff>
    </xdr:from>
    <xdr:ext cx="304442" cy="264560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5C92E664-85F4-499E-99FF-83483B55C287}"/>
            </a:ext>
          </a:extLst>
        </xdr:cNvPr>
        <xdr:cNvSpPr txBox="1"/>
      </xdr:nvSpPr>
      <xdr:spPr>
        <a:xfrm>
          <a:off x="11845469" y="3862615"/>
          <a:ext cx="304442" cy="26456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 b="1"/>
            <a:t>1°</a:t>
          </a:r>
        </a:p>
      </xdr:txBody>
    </xdr:sp>
    <xdr:clientData/>
  </xdr:oneCellAnchor>
  <xdr:oneCellAnchor>
    <xdr:from>
      <xdr:col>8</xdr:col>
      <xdr:colOff>306612</xdr:colOff>
      <xdr:row>17</xdr:row>
      <xdr:rowOff>216354</xdr:rowOff>
    </xdr:from>
    <xdr:ext cx="304442" cy="264560"/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54DAD064-555E-4FF4-8F33-17798D11CFF4}"/>
            </a:ext>
          </a:extLst>
        </xdr:cNvPr>
        <xdr:cNvSpPr txBox="1"/>
      </xdr:nvSpPr>
      <xdr:spPr>
        <a:xfrm>
          <a:off x="11845469" y="4144283"/>
          <a:ext cx="304442" cy="26456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 b="1"/>
            <a:t>2°</a:t>
          </a:r>
        </a:p>
      </xdr:txBody>
    </xdr:sp>
    <xdr:clientData/>
  </xdr:oneCellAnchor>
  <xdr:oneCellAnchor>
    <xdr:from>
      <xdr:col>8</xdr:col>
      <xdr:colOff>306612</xdr:colOff>
      <xdr:row>18</xdr:row>
      <xdr:rowOff>244022</xdr:rowOff>
    </xdr:from>
    <xdr:ext cx="304442" cy="264560"/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109DC354-DFD0-44D7-BC1B-AE8D6C9B5E31}"/>
            </a:ext>
          </a:extLst>
        </xdr:cNvPr>
        <xdr:cNvSpPr txBox="1"/>
      </xdr:nvSpPr>
      <xdr:spPr>
        <a:xfrm>
          <a:off x="11845469" y="4425951"/>
          <a:ext cx="304442" cy="26456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 b="1"/>
            <a:t>3°</a:t>
          </a:r>
        </a:p>
      </xdr:txBody>
    </xdr:sp>
    <xdr:clientData/>
  </xdr:oneCellAnchor>
  <xdr:oneCellAnchor>
    <xdr:from>
      <xdr:col>8</xdr:col>
      <xdr:colOff>306612</xdr:colOff>
      <xdr:row>20</xdr:row>
      <xdr:rowOff>17690</xdr:rowOff>
    </xdr:from>
    <xdr:ext cx="304442" cy="264560"/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D30BE64A-510B-4AEA-B546-919BA8FD9AF8}"/>
            </a:ext>
          </a:extLst>
        </xdr:cNvPr>
        <xdr:cNvSpPr txBox="1"/>
      </xdr:nvSpPr>
      <xdr:spPr>
        <a:xfrm>
          <a:off x="11845469" y="4707619"/>
          <a:ext cx="304442" cy="26456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 b="1"/>
            <a:t>4°</a:t>
          </a:r>
        </a:p>
      </xdr:txBody>
    </xdr:sp>
    <xdr:clientData/>
  </xdr:oneCellAnchor>
  <xdr:oneCellAnchor>
    <xdr:from>
      <xdr:col>8</xdr:col>
      <xdr:colOff>306612</xdr:colOff>
      <xdr:row>21</xdr:row>
      <xdr:rowOff>45358</xdr:rowOff>
    </xdr:from>
    <xdr:ext cx="304442" cy="264560"/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B06742A1-EB67-4185-A05A-3B2FFC0B0DFF}"/>
            </a:ext>
          </a:extLst>
        </xdr:cNvPr>
        <xdr:cNvSpPr txBox="1"/>
      </xdr:nvSpPr>
      <xdr:spPr>
        <a:xfrm>
          <a:off x="11845469" y="4989287"/>
          <a:ext cx="304442" cy="26456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 b="1"/>
            <a:t>5°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120650</xdr:rowOff>
    </xdr:to>
    <xdr:sp macro="" textlink="">
      <xdr:nvSpPr>
        <xdr:cNvPr id="3073" name="AutoShape 1" descr="A imagem mostra a tabela do Inss 2024, Mostrando salario, a Aliquota e Parcela a Deduzir.">
          <a:extLst>
            <a:ext uri="{FF2B5EF4-FFF2-40B4-BE49-F238E27FC236}">
              <a16:creationId xmlns:a16="http://schemas.microsoft.com/office/drawing/2014/main" id="{94A2D49E-FD12-D58C-8A31-E3383C28F1D7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5</xdr:col>
      <xdr:colOff>93585</xdr:colOff>
      <xdr:row>7</xdr:row>
      <xdr:rowOff>12330</xdr:rowOff>
    </xdr:to>
    <xdr:pic>
      <xdr:nvPicPr>
        <xdr:cNvPr id="3" name="Imagem 2" descr="Digiliza – Cálculo FGTS, IRRF, INSS salário líquido">
          <a:extLst>
            <a:ext uri="{FF2B5EF4-FFF2-40B4-BE49-F238E27FC236}">
              <a16:creationId xmlns:a16="http://schemas.microsoft.com/office/drawing/2014/main" id="{B7EC86BF-8787-4846-D0FE-6BC9E1B8A9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0340" y="184951"/>
          <a:ext cx="2534944" cy="11220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b_petshop.accdb" connectionId="1" xr16:uid="{00000000-0016-0000-0000-000000000000}" autoFormatId="16" applyNumberFormats="0" applyBorderFormats="0" applyFontFormats="0" applyPatternFormats="0" applyAlignmentFormats="0" applyWidthHeightFormats="0">
  <queryTableRefresh nextId="15">
    <queryTableFields count="12">
      <queryTableField id="1" name="Código do Funcionário" tableColumnId="1"/>
      <queryTableField id="2" name="Nome" tableColumnId="2"/>
      <queryTableField id="3" name="CPF" tableColumnId="3"/>
      <queryTableField id="4" name="Estado Civil" tableColumnId="4"/>
      <queryTableField id="5" name="Data de Nascimento" tableColumnId="5"/>
      <queryTableField id="6" name="Função" tableColumnId="6"/>
      <queryTableField id="7" name="Data da Contratação" tableColumnId="7"/>
      <queryTableField id="8" name="Salário Base" tableColumnId="8"/>
      <queryTableField id="10" name="Número de Filhos" tableColumnId="10"/>
      <queryTableField id="11" name="Agência Bancária" tableColumnId="11"/>
      <queryTableField id="12" name="Conta Corrente" tableColumnId="12"/>
      <queryTableField id="13" name="E-mail" tableColumnId="13"/>
    </queryTableFields>
    <queryTableDeletedFields count="2">
      <deletedField name="Foto"/>
      <deletedField name="Observação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0000000}" name="Tabela_db_petshop.accdb" displayName="Tabela_db_petshop.accdb" ref="A34:L39" tableType="queryTable" totalsRowShown="0" headerRowDxfId="16" dataDxfId="14" headerRowBorderDxfId="15" tableBorderDxfId="13" totalsRowBorderDxfId="12">
  <autoFilter ref="A34:L39" xr:uid="{00000000-0009-0000-0100-00000D000000}">
    <filterColumn colId="0">
      <filters>
        <filter val="5"/>
      </filters>
    </filterColumn>
  </autoFilter>
  <tableColumns count="12">
    <tableColumn id="1" xr3:uid="{00000000-0010-0000-0000-000001000000}" uniqueName="1" name="Código do Funcionário" queryTableFieldId="1" dataDxfId="11"/>
    <tableColumn id="2" xr3:uid="{00000000-0010-0000-0000-000002000000}" uniqueName="2" name="Nome" queryTableFieldId="2" dataDxfId="10"/>
    <tableColumn id="3" xr3:uid="{00000000-0010-0000-0000-000003000000}" uniqueName="3" name="CPF" queryTableFieldId="3" dataDxfId="9"/>
    <tableColumn id="4" xr3:uid="{00000000-0010-0000-0000-000004000000}" uniqueName="4" name="Estado Civil" queryTableFieldId="4" dataDxfId="8"/>
    <tableColumn id="5" xr3:uid="{00000000-0010-0000-0000-000005000000}" uniqueName="5" name="Data de Nascimento" queryTableFieldId="5" dataDxfId="7"/>
    <tableColumn id="6" xr3:uid="{00000000-0010-0000-0000-000006000000}" uniqueName="6" name="Função" queryTableFieldId="6" dataDxfId="6"/>
    <tableColumn id="7" xr3:uid="{00000000-0010-0000-0000-000007000000}" uniqueName="7" name="Data da Contratação" queryTableFieldId="7" dataDxfId="5"/>
    <tableColumn id="8" xr3:uid="{00000000-0010-0000-0000-000008000000}" uniqueName="8" name="Salário Base" queryTableFieldId="8" dataDxfId="4" dataCellStyle="Moeda"/>
    <tableColumn id="10" xr3:uid="{00000000-0010-0000-0000-00000A000000}" uniqueName="10" name="Número de Filhos" queryTableFieldId="10" dataDxfId="3"/>
    <tableColumn id="11" xr3:uid="{00000000-0010-0000-0000-00000B000000}" uniqueName="11" name="Agência Bancária" queryTableFieldId="11" dataDxfId="2"/>
    <tableColumn id="12" xr3:uid="{00000000-0010-0000-0000-00000C000000}" uniqueName="12" name="Conta Corrente" queryTableFieldId="12" dataDxfId="1"/>
    <tableColumn id="13" xr3:uid="{00000000-0010-0000-0000-00000D000000}" uniqueName="13" name="E-mail" queryTableFieldId="13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3" Type="http://schemas.openxmlformats.org/officeDocument/2006/relationships/hyperlink" Target="mailto:cesarvillan@outlook.com#mailto:cesarvillan@outlook.com" TargetMode="Externa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2" Type="http://schemas.openxmlformats.org/officeDocument/2006/relationships/hyperlink" Target="mailto:richardmussen@gmail.com#mailto:richardmussen@gmail.com" TargetMode="External"/><Relationship Id="rId1" Type="http://schemas.openxmlformats.org/officeDocument/2006/relationships/hyperlink" Target="mailto:luisamell@gmail.com#mailto:luisamell@gmail.com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hyperlink" Target="mailto:veiodahavan@gmail.com#mailto:veiodahavan@gmail.com" TargetMode="External"/><Relationship Id="rId10" Type="http://schemas.openxmlformats.org/officeDocument/2006/relationships/ctrlProp" Target="../ctrlProps/ctrlProp3.xml"/><Relationship Id="rId4" Type="http://schemas.openxmlformats.org/officeDocument/2006/relationships/hyperlink" Target="mailto:pablomarcal@bol.com.br#mailto:pablomarcal@bol.com.br" TargetMode="External"/><Relationship Id="rId9" Type="http://schemas.openxmlformats.org/officeDocument/2006/relationships/ctrlProp" Target="../ctrlProps/ctrlProp2.xm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L63"/>
  <sheetViews>
    <sheetView tabSelected="1" zoomScale="70" zoomScaleNormal="70" workbookViewId="0">
      <selection activeCell="G1" sqref="G1"/>
    </sheetView>
  </sheetViews>
  <sheetFormatPr defaultRowHeight="14.4" x14ac:dyDescent="0.3"/>
  <cols>
    <col min="1" max="11" width="20.6640625" customWidth="1"/>
    <col min="12" max="12" width="54.109375" bestFit="1" customWidth="1"/>
    <col min="13" max="13" width="13.33203125" customWidth="1"/>
    <col min="14" max="14" width="13.109375" customWidth="1"/>
    <col min="15" max="15" width="12.109375" customWidth="1"/>
    <col min="16" max="16" width="36.33203125" customWidth="1"/>
    <col min="17" max="22" width="10.6640625" customWidth="1"/>
  </cols>
  <sheetData>
    <row r="1" spans="1:11" ht="20.100000000000001" customHeight="1" x14ac:dyDescent="0.35">
      <c r="A1" s="17" t="s">
        <v>58</v>
      </c>
      <c r="B1" s="33" t="s">
        <v>62</v>
      </c>
      <c r="C1" s="10"/>
      <c r="D1" s="120" t="s">
        <v>59</v>
      </c>
      <c r="E1" s="120"/>
      <c r="F1" s="121"/>
    </row>
    <row r="2" spans="1:11" ht="20.100000000000001" customHeight="1" x14ac:dyDescent="0.3">
      <c r="A2" s="18" t="s">
        <v>57</v>
      </c>
      <c r="B2" s="34" t="s">
        <v>63</v>
      </c>
      <c r="C2" s="20"/>
      <c r="D2" s="20"/>
      <c r="E2" s="35" t="str">
        <f ca="1">TEXT(F25,"mmmm")</f>
        <v>dezembro</v>
      </c>
      <c r="F2" s="7" t="str">
        <f ca="1">TEXT(F25,"aaaa")</f>
        <v>2024</v>
      </c>
    </row>
    <row r="3" spans="1:11" ht="20.100000000000001" customHeight="1" x14ac:dyDescent="0.3">
      <c r="A3" s="19" t="s">
        <v>0</v>
      </c>
      <c r="B3" s="20" t="s">
        <v>1</v>
      </c>
      <c r="C3" s="127" t="s">
        <v>2</v>
      </c>
      <c r="D3" s="127"/>
      <c r="E3" s="20" t="s">
        <v>17</v>
      </c>
      <c r="F3" s="24" t="s">
        <v>18</v>
      </c>
    </row>
    <row r="4" spans="1:11" ht="20.100000000000001" customHeight="1" x14ac:dyDescent="0.3">
      <c r="A4" s="13">
        <f>A38</f>
        <v>5</v>
      </c>
      <c r="B4" s="14" t="str">
        <f>B38</f>
        <v>Pablo Marçal</v>
      </c>
      <c r="C4" s="122" t="str">
        <f>F38</f>
        <v>Vendedor</v>
      </c>
      <c r="D4" s="122"/>
      <c r="E4" s="11"/>
      <c r="F4" s="12"/>
    </row>
    <row r="5" spans="1:11" ht="4.5" customHeight="1" x14ac:dyDescent="0.3">
      <c r="A5" s="6"/>
      <c r="B5" s="2"/>
      <c r="C5" s="2"/>
      <c r="F5" s="5"/>
    </row>
    <row r="6" spans="1:11" ht="20.100000000000001" customHeight="1" thickBot="1" x14ac:dyDescent="0.35">
      <c r="A6" s="123" t="s">
        <v>15</v>
      </c>
      <c r="B6" s="124"/>
      <c r="C6" s="124"/>
      <c r="D6" s="37" t="s">
        <v>13</v>
      </c>
      <c r="E6" s="37" t="s">
        <v>14</v>
      </c>
      <c r="F6" s="38" t="s">
        <v>11</v>
      </c>
      <c r="H6" s="108"/>
    </row>
    <row r="7" spans="1:11" ht="20.100000000000001" customHeight="1" x14ac:dyDescent="0.3">
      <c r="A7" s="125" t="s">
        <v>3</v>
      </c>
      <c r="B7" s="126"/>
      <c r="C7" s="126"/>
      <c r="D7" s="39">
        <v>30</v>
      </c>
      <c r="E7" s="39">
        <f ca="1">(A23/B29)*D7</f>
        <v>1629.2307692307693</v>
      </c>
      <c r="F7" s="40" t="str">
        <f ca="1">IF(D7&lt;B29,(A23/B29)*(B29-D7)," ")</f>
        <v xml:space="preserve"> </v>
      </c>
      <c r="H7" s="111" t="s">
        <v>14</v>
      </c>
      <c r="I7" s="114" t="s">
        <v>91</v>
      </c>
      <c r="J7" s="114"/>
      <c r="K7" s="115"/>
    </row>
    <row r="8" spans="1:11" ht="20.100000000000001" customHeight="1" x14ac:dyDescent="0.3">
      <c r="A8" s="125" t="s">
        <v>4</v>
      </c>
      <c r="B8" s="126"/>
      <c r="C8" s="126"/>
      <c r="D8" s="39">
        <v>0</v>
      </c>
      <c r="E8" s="39">
        <f ca="1">(E7*D8)/B29</f>
        <v>0</v>
      </c>
      <c r="F8" s="40">
        <f ca="1">IF(B32&gt;D8,(E7*(B32-D8))/B29," ")</f>
        <v>313.31360946745565</v>
      </c>
      <c r="H8" s="112"/>
      <c r="I8" s="116"/>
      <c r="J8" s="116"/>
      <c r="K8" s="117"/>
    </row>
    <row r="9" spans="1:11" ht="20.100000000000001" customHeight="1" x14ac:dyDescent="0.3">
      <c r="A9" s="125" t="s">
        <v>5</v>
      </c>
      <c r="B9" s="126"/>
      <c r="C9" s="126"/>
      <c r="D9" s="41"/>
      <c r="E9" s="39">
        <f ca="1">(A23/B29)*50%*D9</f>
        <v>0</v>
      </c>
      <c r="F9" s="40"/>
      <c r="H9" s="112"/>
      <c r="I9" s="116"/>
      <c r="J9" s="116"/>
      <c r="K9" s="117"/>
    </row>
    <row r="10" spans="1:11" ht="20.100000000000001" customHeight="1" x14ac:dyDescent="0.3">
      <c r="A10" s="125" t="s">
        <v>6</v>
      </c>
      <c r="B10" s="126"/>
      <c r="C10" s="126"/>
      <c r="D10" s="41"/>
      <c r="E10" s="39">
        <f ca="1">(A23/B29)*D10</f>
        <v>0</v>
      </c>
      <c r="F10" s="40"/>
      <c r="H10" s="112"/>
      <c r="I10" s="116" t="s">
        <v>92</v>
      </c>
      <c r="J10" s="116"/>
      <c r="K10" s="117"/>
    </row>
    <row r="11" spans="1:11" ht="20.100000000000001" customHeight="1" x14ac:dyDescent="0.3">
      <c r="A11" s="125" t="s">
        <v>7</v>
      </c>
      <c r="B11" s="126"/>
      <c r="C11" s="126"/>
      <c r="D11" s="42">
        <v>0.3</v>
      </c>
      <c r="E11" s="39">
        <f>A23*30%</f>
        <v>423.59999999999997</v>
      </c>
      <c r="F11" s="40"/>
      <c r="H11" s="112"/>
      <c r="I11" s="116"/>
      <c r="J11" s="116"/>
      <c r="K11" s="117"/>
    </row>
    <row r="12" spans="1:11" ht="20.100000000000001" customHeight="1" x14ac:dyDescent="0.3">
      <c r="A12" s="125" t="s">
        <v>8</v>
      </c>
      <c r="B12" s="126"/>
      <c r="C12" s="126"/>
      <c r="D12" s="47" t="str">
        <f ca="1">IF(E19-F13&lt;2259.2,"ISENTO",IF(E19-F13&lt;2826.65,7.5%,IF(E19-F13&lt;3751.05,15%,IF(E19-F13&lt;4664.68,22.5%,27.5%))))</f>
        <v>ISENTO</v>
      </c>
      <c r="E12" s="39"/>
      <c r="F12" s="40" t="str">
        <f ca="1">IF(D12&lt;&gt;"ISENTO",E19*D12," ")</f>
        <v xml:space="preserve"> </v>
      </c>
      <c r="H12" s="112"/>
      <c r="I12" s="118" t="s">
        <v>94</v>
      </c>
      <c r="J12" s="118"/>
      <c r="K12" s="119"/>
    </row>
    <row r="13" spans="1:11" ht="20.100000000000001" customHeight="1" x14ac:dyDescent="0.3">
      <c r="A13" s="125" t="s">
        <v>9</v>
      </c>
      <c r="B13" s="126"/>
      <c r="C13" s="126"/>
      <c r="D13" s="43">
        <f>IF(A23&lt;1412,7.5%,IF(A23&lt;2666.8,9%,IF(A23&lt;4000.03,12%,IF(A23&lt;7786.02,14%,"ACIMA DO TETO"))))</f>
        <v>0.09</v>
      </c>
      <c r="E13" s="39"/>
      <c r="F13" s="40">
        <f>D13*A23</f>
        <v>127.08</v>
      </c>
      <c r="H13" s="112"/>
      <c r="I13" s="118" t="s">
        <v>93</v>
      </c>
      <c r="J13" s="118"/>
      <c r="K13" s="119"/>
    </row>
    <row r="14" spans="1:11" ht="20.100000000000001" customHeight="1" thickBot="1" x14ac:dyDescent="0.35">
      <c r="A14" s="125" t="s">
        <v>10</v>
      </c>
      <c r="B14" s="126"/>
      <c r="C14" s="126"/>
      <c r="D14" s="43">
        <v>0.08</v>
      </c>
      <c r="E14" s="39"/>
      <c r="F14" s="40">
        <f ca="1">D14*E19</f>
        <v>164.22646153846156</v>
      </c>
      <c r="H14" s="113"/>
      <c r="I14" s="109" t="s">
        <v>95</v>
      </c>
      <c r="J14" s="109"/>
      <c r="K14" s="110"/>
    </row>
    <row r="15" spans="1:11" ht="20.100000000000001" customHeight="1" x14ac:dyDescent="0.3">
      <c r="A15" s="125" t="s">
        <v>12</v>
      </c>
      <c r="B15" s="126"/>
      <c r="C15" s="126"/>
      <c r="D15" s="43">
        <v>0.06</v>
      </c>
      <c r="E15" s="39"/>
      <c r="F15" s="40">
        <f>D15*A23</f>
        <v>84.72</v>
      </c>
    </row>
    <row r="16" spans="1:11" ht="20.100000000000001" customHeight="1" x14ac:dyDescent="0.3">
      <c r="A16" s="144" t="s">
        <v>16</v>
      </c>
      <c r="B16" s="145"/>
      <c r="C16" s="145"/>
      <c r="D16" s="44">
        <v>0.06</v>
      </c>
      <c r="E16" s="45"/>
      <c r="F16" s="46">
        <f>D16*A23</f>
        <v>84.72</v>
      </c>
    </row>
    <row r="17" spans="1:6" ht="5.25" customHeight="1" x14ac:dyDescent="0.3">
      <c r="A17" s="25"/>
      <c r="D17" s="2"/>
      <c r="E17" s="2"/>
      <c r="F17" s="26"/>
    </row>
    <row r="18" spans="1:6" ht="20.100000000000001" customHeight="1" x14ac:dyDescent="0.3">
      <c r="A18" s="146"/>
      <c r="B18" s="147"/>
      <c r="C18" s="147"/>
      <c r="D18" s="8"/>
      <c r="E18" s="21" t="s">
        <v>25</v>
      </c>
      <c r="F18" s="22" t="s">
        <v>26</v>
      </c>
    </row>
    <row r="19" spans="1:6" ht="20.100000000000001" customHeight="1" x14ac:dyDescent="0.3">
      <c r="A19" s="146"/>
      <c r="B19" s="147"/>
      <c r="C19" s="147"/>
      <c r="D19" s="8"/>
      <c r="E19" s="23">
        <f ca="1">SUM(E7:E11)</f>
        <v>2052.8307692307694</v>
      </c>
      <c r="F19" s="29">
        <f ca="1">SUM(F7:F16)</f>
        <v>774.06007100591728</v>
      </c>
    </row>
    <row r="20" spans="1:6" ht="20.100000000000001" customHeight="1" x14ac:dyDescent="0.3">
      <c r="A20" s="146"/>
      <c r="B20" s="147"/>
      <c r="C20" s="147"/>
      <c r="D20" s="8"/>
      <c r="E20" s="21" t="s">
        <v>24</v>
      </c>
      <c r="F20" s="9"/>
    </row>
    <row r="21" spans="1:6" ht="20.100000000000001" customHeight="1" x14ac:dyDescent="0.3">
      <c r="A21" s="146"/>
      <c r="B21" s="147"/>
      <c r="C21" s="147"/>
      <c r="D21" s="8"/>
      <c r="E21" s="23">
        <f ca="1">E19-F19</f>
        <v>1278.7706982248521</v>
      </c>
      <c r="F21" s="9"/>
    </row>
    <row r="22" spans="1:6" ht="20.100000000000001" customHeight="1" x14ac:dyDescent="0.3">
      <c r="A22" s="19" t="s">
        <v>19</v>
      </c>
      <c r="B22" s="20" t="s">
        <v>20</v>
      </c>
      <c r="C22" s="20" t="s">
        <v>21</v>
      </c>
      <c r="D22" s="20" t="s">
        <v>60</v>
      </c>
      <c r="E22" s="20" t="s">
        <v>22</v>
      </c>
      <c r="F22" s="24" t="s">
        <v>23</v>
      </c>
    </row>
    <row r="23" spans="1:6" ht="20.100000000000001" customHeight="1" x14ac:dyDescent="0.3">
      <c r="A23" s="30">
        <f>H38</f>
        <v>1412</v>
      </c>
      <c r="B23" s="31">
        <f>A23</f>
        <v>1412</v>
      </c>
      <c r="C23" s="31">
        <f>A23</f>
        <v>1412</v>
      </c>
      <c r="D23" s="31">
        <f>D14*C23</f>
        <v>112.96000000000001</v>
      </c>
      <c r="E23" s="31">
        <f ca="1">E19-F19</f>
        <v>1278.7706982248521</v>
      </c>
      <c r="F23" s="27">
        <f ca="1">IF(E19-F13&lt;2259.2,1,IF(E19-F13&lt;2826.65,2,IF(E19-F13&lt;3751.05,3,IF(E19-F13&lt;4664.68,4,5))))</f>
        <v>1</v>
      </c>
    </row>
    <row r="24" spans="1:6" ht="4.5" customHeight="1" x14ac:dyDescent="0.3">
      <c r="A24" s="6"/>
      <c r="B24" s="2"/>
      <c r="C24" s="2"/>
      <c r="D24" s="2"/>
      <c r="E24" s="2"/>
      <c r="F24" s="26"/>
    </row>
    <row r="25" spans="1:6" ht="20.100000000000001" customHeight="1" thickBot="1" x14ac:dyDescent="0.35">
      <c r="A25" s="15"/>
      <c r="B25" s="16"/>
      <c r="C25" s="16"/>
      <c r="D25" s="16"/>
      <c r="E25" s="28" t="s">
        <v>61</v>
      </c>
      <c r="F25" s="36">
        <f ca="1">TODAY()</f>
        <v>45644</v>
      </c>
    </row>
    <row r="26" spans="1:6" ht="15" thickBot="1" x14ac:dyDescent="0.35"/>
    <row r="27" spans="1:6" x14ac:dyDescent="0.3">
      <c r="A27" s="90" t="s">
        <v>66</v>
      </c>
      <c r="B27" s="85">
        <f ca="1">DATEVALUE(E2&amp;F2)</f>
        <v>45627</v>
      </c>
    </row>
    <row r="28" spans="1:6" x14ac:dyDescent="0.3">
      <c r="A28" s="91" t="s">
        <v>65</v>
      </c>
      <c r="B28" s="86">
        <f ca="1">EOMONTH(B27,0)</f>
        <v>45657</v>
      </c>
    </row>
    <row r="29" spans="1:6" x14ac:dyDescent="0.3">
      <c r="A29" s="91" t="s">
        <v>64</v>
      </c>
      <c r="B29" s="87">
        <f ca="1">NETWORKDAYS.INTL(B27,B28,11)</f>
        <v>26</v>
      </c>
    </row>
    <row r="30" spans="1:6" x14ac:dyDescent="0.3">
      <c r="A30" s="91" t="s">
        <v>67</v>
      </c>
      <c r="B30" s="88">
        <f ca="1">DAYS360(B27,B28)+1</f>
        <v>31</v>
      </c>
    </row>
    <row r="31" spans="1:6" x14ac:dyDescent="0.3">
      <c r="A31" s="91"/>
      <c r="B31" s="87"/>
    </row>
    <row r="32" spans="1:6" ht="15" thickBot="1" x14ac:dyDescent="0.35">
      <c r="A32" s="92" t="s">
        <v>68</v>
      </c>
      <c r="B32" s="89">
        <f ca="1">B30-B29</f>
        <v>5</v>
      </c>
    </row>
    <row r="34" spans="1:12" s="49" customFormat="1" x14ac:dyDescent="0.3">
      <c r="A34" s="102" t="s">
        <v>27</v>
      </c>
      <c r="B34" s="103" t="s">
        <v>28</v>
      </c>
      <c r="C34" s="103" t="s">
        <v>29</v>
      </c>
      <c r="D34" s="103" t="s">
        <v>30</v>
      </c>
      <c r="E34" s="103" t="s">
        <v>31</v>
      </c>
      <c r="F34" s="103" t="s">
        <v>32</v>
      </c>
      <c r="G34" s="103" t="s">
        <v>33</v>
      </c>
      <c r="H34" s="103" t="s">
        <v>34</v>
      </c>
      <c r="I34" s="103" t="s">
        <v>35</v>
      </c>
      <c r="J34" s="103" t="s">
        <v>36</v>
      </c>
      <c r="K34" s="103" t="s">
        <v>37</v>
      </c>
      <c r="L34" s="104" t="s">
        <v>38</v>
      </c>
    </row>
    <row r="35" spans="1:12" s="2" customFormat="1" hidden="1" x14ac:dyDescent="0.3">
      <c r="A35" s="93">
        <v>1</v>
      </c>
      <c r="B35" s="83" t="s">
        <v>39</v>
      </c>
      <c r="C35" s="83" t="s">
        <v>40</v>
      </c>
      <c r="D35" s="83" t="s">
        <v>41</v>
      </c>
      <c r="E35" s="94">
        <v>28752</v>
      </c>
      <c r="F35" s="83" t="s">
        <v>42</v>
      </c>
      <c r="G35" s="94">
        <v>42873</v>
      </c>
      <c r="H35" s="95">
        <v>3000</v>
      </c>
      <c r="I35" s="83">
        <v>0</v>
      </c>
      <c r="J35" s="83">
        <v>1111</v>
      </c>
      <c r="K35" s="83">
        <v>20202</v>
      </c>
      <c r="L35" s="96" t="s">
        <v>69</v>
      </c>
    </row>
    <row r="36" spans="1:12" s="2" customFormat="1" hidden="1" x14ac:dyDescent="0.3">
      <c r="A36" s="93">
        <v>2</v>
      </c>
      <c r="B36" s="83" t="s">
        <v>43</v>
      </c>
      <c r="C36" s="83" t="s">
        <v>44</v>
      </c>
      <c r="D36" s="83" t="s">
        <v>45</v>
      </c>
      <c r="E36" s="94">
        <v>25614</v>
      </c>
      <c r="F36" s="83" t="s">
        <v>46</v>
      </c>
      <c r="G36" s="94">
        <v>43478</v>
      </c>
      <c r="H36" s="95">
        <v>2500</v>
      </c>
      <c r="I36" s="83">
        <v>0</v>
      </c>
      <c r="J36" s="83">
        <v>8889</v>
      </c>
      <c r="K36" s="83">
        <v>32332</v>
      </c>
      <c r="L36" s="96" t="s">
        <v>55</v>
      </c>
    </row>
    <row r="37" spans="1:12" s="2" customFormat="1" hidden="1" x14ac:dyDescent="0.3">
      <c r="A37" s="93">
        <v>4</v>
      </c>
      <c r="B37" s="83" t="s">
        <v>47</v>
      </c>
      <c r="C37" s="83" t="s">
        <v>48</v>
      </c>
      <c r="D37" s="83" t="s">
        <v>49</v>
      </c>
      <c r="E37" s="94">
        <v>25442</v>
      </c>
      <c r="F37" s="83" t="s">
        <v>46</v>
      </c>
      <c r="G37" s="94">
        <v>43893</v>
      </c>
      <c r="H37" s="95">
        <v>2500</v>
      </c>
      <c r="I37" s="83">
        <v>2</v>
      </c>
      <c r="J37" s="83">
        <v>1388</v>
      </c>
      <c r="K37" s="83">
        <v>12345</v>
      </c>
      <c r="L37" s="96" t="s">
        <v>56</v>
      </c>
    </row>
    <row r="38" spans="1:12" s="2" customFormat="1" x14ac:dyDescent="0.3">
      <c r="A38" s="93">
        <v>5</v>
      </c>
      <c r="B38" s="83" t="s">
        <v>50</v>
      </c>
      <c r="C38" s="83" t="s">
        <v>51</v>
      </c>
      <c r="D38" s="83" t="s">
        <v>49</v>
      </c>
      <c r="E38" s="94">
        <v>31854</v>
      </c>
      <c r="F38" s="83" t="s">
        <v>52</v>
      </c>
      <c r="G38" s="94">
        <v>44242</v>
      </c>
      <c r="H38" s="95">
        <v>1412</v>
      </c>
      <c r="I38" s="83">
        <v>4</v>
      </c>
      <c r="J38" s="83">
        <v>6666</v>
      </c>
      <c r="K38" s="83">
        <v>66986</v>
      </c>
      <c r="L38" s="96" t="s">
        <v>70</v>
      </c>
    </row>
    <row r="39" spans="1:12" s="2" customFormat="1" hidden="1" x14ac:dyDescent="0.3">
      <c r="A39" s="97">
        <v>6</v>
      </c>
      <c r="B39" s="98" t="s">
        <v>53</v>
      </c>
      <c r="C39" s="98" t="s">
        <v>54</v>
      </c>
      <c r="D39" s="98" t="s">
        <v>49</v>
      </c>
      <c r="E39" s="99">
        <v>22869</v>
      </c>
      <c r="F39" s="98" t="s">
        <v>52</v>
      </c>
      <c r="G39" s="99">
        <v>43746</v>
      </c>
      <c r="H39" s="100">
        <v>1412</v>
      </c>
      <c r="I39" s="98">
        <v>3</v>
      </c>
      <c r="J39" s="98">
        <v>6666</v>
      </c>
      <c r="K39" s="98">
        <v>66666</v>
      </c>
      <c r="L39" s="101" t="s">
        <v>71</v>
      </c>
    </row>
    <row r="40" spans="1:12" s="2" customFormat="1" ht="15" thickBot="1" x14ac:dyDescent="0.35">
      <c r="E40" s="1"/>
      <c r="G40" s="1"/>
      <c r="H40" s="3"/>
      <c r="L40" s="4"/>
    </row>
    <row r="41" spans="1:12" x14ac:dyDescent="0.3">
      <c r="A41" s="81" t="s">
        <v>75</v>
      </c>
      <c r="B41" s="57">
        <v>1</v>
      </c>
      <c r="C41" s="84" t="s">
        <v>80</v>
      </c>
      <c r="D41" s="135" t="s">
        <v>87</v>
      </c>
      <c r="E41" s="136"/>
      <c r="F41" s="136"/>
      <c r="G41" s="136"/>
      <c r="H41" s="136"/>
      <c r="I41" s="136"/>
      <c r="J41" s="136"/>
      <c r="K41" s="137"/>
    </row>
    <row r="42" spans="1:12" x14ac:dyDescent="0.3">
      <c r="A42" s="82" t="s">
        <v>73</v>
      </c>
      <c r="B42" s="32" t="str">
        <f>VLOOKUP(B41,A35:B39,2,0)</f>
        <v>Luisa Mell</v>
      </c>
      <c r="C42" s="49"/>
      <c r="D42" s="135" t="s">
        <v>88</v>
      </c>
      <c r="E42" s="136"/>
      <c r="F42" s="136"/>
      <c r="G42" s="136"/>
      <c r="H42" s="136"/>
      <c r="I42" s="136"/>
      <c r="J42" s="136"/>
      <c r="K42" s="137"/>
    </row>
    <row r="43" spans="1:12" ht="15" thickBot="1" x14ac:dyDescent="0.35">
      <c r="A43" s="82" t="s">
        <v>74</v>
      </c>
      <c r="B43" s="52">
        <f>VLOOKUP(B41,Tabela_db_petshop.accdb[#All],8,0)</f>
        <v>3000</v>
      </c>
      <c r="C43" s="49"/>
      <c r="D43" s="138" t="s">
        <v>81</v>
      </c>
      <c r="E43" s="139"/>
      <c r="F43" s="139"/>
      <c r="G43" s="139"/>
      <c r="H43" s="139"/>
      <c r="I43" s="139"/>
      <c r="J43" s="139"/>
      <c r="K43" s="140"/>
    </row>
    <row r="44" spans="1:12" ht="15.6" thickTop="1" thickBot="1" x14ac:dyDescent="0.35">
      <c r="A44" s="82" t="s">
        <v>72</v>
      </c>
      <c r="B44" s="58">
        <v>45292</v>
      </c>
      <c r="C44" s="84" t="s">
        <v>82</v>
      </c>
      <c r="D44" s="141" t="s">
        <v>83</v>
      </c>
      <c r="E44" s="142"/>
      <c r="F44" s="142"/>
      <c r="G44" s="142"/>
      <c r="H44" s="142"/>
      <c r="I44" s="142"/>
      <c r="J44" s="142"/>
      <c r="K44" s="143"/>
    </row>
    <row r="45" spans="1:12" x14ac:dyDescent="0.3">
      <c r="A45" s="82" t="s">
        <v>89</v>
      </c>
      <c r="B45" s="52">
        <f>VLOOKUP(B44,A49:K62,MATCH(B41,A50:K50,1)+5,0)</f>
        <v>6000</v>
      </c>
    </row>
    <row r="46" spans="1:12" x14ac:dyDescent="0.3">
      <c r="A46" s="82" t="s">
        <v>85</v>
      </c>
      <c r="B46" s="52">
        <f>IF(B41=1,12%,IF(OR(B41=2,B41=4),IF(B45&lt;3000,5%,IF(B45&lt;4500,7.5%,IF(B45&lt;6000,10%,15%+500))),IF(OR(B41=5,B41=6),IF(B45&lt;400,2.5,IF(B45&lt;600,3.5%,IF(B45&lt;1000,5%,7.5%))))))*B45</f>
        <v>720</v>
      </c>
    </row>
    <row r="47" spans="1:12" ht="15" thickBot="1" x14ac:dyDescent="0.35">
      <c r="A47" s="82" t="s">
        <v>84</v>
      </c>
      <c r="B47" s="53">
        <f>VLOOKUP("MÉDIA",A49:F63,MATCH(B41,A50:F50,1),0)+B43+(B43/3)</f>
        <v>4336.75</v>
      </c>
    </row>
    <row r="48" spans="1:12" ht="15" thickBot="1" x14ac:dyDescent="0.35"/>
    <row r="49" spans="1:11" ht="15" thickBot="1" x14ac:dyDescent="0.35">
      <c r="A49" s="128" t="s">
        <v>76</v>
      </c>
      <c r="B49" s="129"/>
      <c r="C49" s="129"/>
      <c r="D49" s="129"/>
      <c r="E49" s="129"/>
      <c r="F49" s="130"/>
      <c r="G49" s="62" t="s">
        <v>79</v>
      </c>
      <c r="H49" s="133" t="s">
        <v>78</v>
      </c>
      <c r="I49" s="134"/>
      <c r="J49" s="131" t="s">
        <v>77</v>
      </c>
      <c r="K49" s="132"/>
    </row>
    <row r="50" spans="1:11" s="2" customFormat="1" ht="15" thickBot="1" x14ac:dyDescent="0.35">
      <c r="A50" s="54" t="s">
        <v>90</v>
      </c>
      <c r="B50" s="55">
        <v>1</v>
      </c>
      <c r="C50" s="55">
        <v>2</v>
      </c>
      <c r="D50" s="55">
        <v>4</v>
      </c>
      <c r="E50" s="55">
        <v>5</v>
      </c>
      <c r="F50" s="67">
        <v>6</v>
      </c>
      <c r="G50" s="72">
        <v>1</v>
      </c>
      <c r="H50" s="76">
        <v>2</v>
      </c>
      <c r="I50" s="67">
        <v>4</v>
      </c>
      <c r="J50" s="63">
        <v>5</v>
      </c>
      <c r="K50" s="56">
        <v>6</v>
      </c>
    </row>
    <row r="51" spans="1:11" x14ac:dyDescent="0.3">
      <c r="A51" s="105">
        <v>45292</v>
      </c>
      <c r="B51" s="50">
        <v>240</v>
      </c>
      <c r="C51" s="50">
        <v>60</v>
      </c>
      <c r="D51" s="50">
        <v>54</v>
      </c>
      <c r="E51" s="50">
        <v>200</v>
      </c>
      <c r="F51" s="68">
        <v>0</v>
      </c>
      <c r="G51" s="73">
        <v>6000</v>
      </c>
      <c r="H51" s="77">
        <v>3000</v>
      </c>
      <c r="I51" s="68">
        <v>5400</v>
      </c>
      <c r="J51" s="64">
        <v>500</v>
      </c>
      <c r="K51" s="51">
        <v>230</v>
      </c>
    </row>
    <row r="52" spans="1:11" x14ac:dyDescent="0.3">
      <c r="A52" s="106">
        <v>45323</v>
      </c>
      <c r="B52" s="48">
        <v>356</v>
      </c>
      <c r="C52" s="48">
        <v>0</v>
      </c>
      <c r="D52" s="48">
        <v>25</v>
      </c>
      <c r="E52" s="48">
        <v>200</v>
      </c>
      <c r="F52" s="69">
        <v>0</v>
      </c>
      <c r="G52" s="74">
        <v>6000</v>
      </c>
      <c r="H52" s="78">
        <v>3500</v>
      </c>
      <c r="I52" s="69">
        <v>5600</v>
      </c>
      <c r="J52" s="65">
        <v>600</v>
      </c>
      <c r="K52" s="52">
        <v>450</v>
      </c>
    </row>
    <row r="53" spans="1:11" x14ac:dyDescent="0.3">
      <c r="A53" s="106">
        <v>45352</v>
      </c>
      <c r="B53" s="48">
        <v>251</v>
      </c>
      <c r="C53" s="48">
        <v>950</v>
      </c>
      <c r="D53" s="48">
        <v>41</v>
      </c>
      <c r="E53" s="48">
        <v>100</v>
      </c>
      <c r="F53" s="69">
        <v>0</v>
      </c>
      <c r="G53" s="74">
        <v>5800</v>
      </c>
      <c r="H53" s="78">
        <v>2500</v>
      </c>
      <c r="I53" s="69">
        <v>7000</v>
      </c>
      <c r="J53" s="65">
        <v>300</v>
      </c>
      <c r="K53" s="52">
        <v>350</v>
      </c>
    </row>
    <row r="54" spans="1:11" x14ac:dyDescent="0.3">
      <c r="A54" s="106">
        <v>45383</v>
      </c>
      <c r="B54" s="48">
        <v>254</v>
      </c>
      <c r="C54" s="48">
        <v>80</v>
      </c>
      <c r="D54" s="48">
        <v>23</v>
      </c>
      <c r="E54" s="48">
        <v>30</v>
      </c>
      <c r="F54" s="69">
        <v>90</v>
      </c>
      <c r="G54" s="74">
        <v>6200</v>
      </c>
      <c r="H54" s="78">
        <v>3600</v>
      </c>
      <c r="I54" s="69">
        <v>6000</v>
      </c>
      <c r="J54" s="65">
        <v>450</v>
      </c>
      <c r="K54" s="52">
        <v>500</v>
      </c>
    </row>
    <row r="55" spans="1:11" x14ac:dyDescent="0.3">
      <c r="A55" s="106">
        <v>45413</v>
      </c>
      <c r="B55" s="48">
        <v>230</v>
      </c>
      <c r="C55" s="48">
        <v>0</v>
      </c>
      <c r="D55" s="48">
        <v>62</v>
      </c>
      <c r="E55" s="48">
        <v>200</v>
      </c>
      <c r="F55" s="69">
        <v>20</v>
      </c>
      <c r="G55" s="74">
        <v>5300</v>
      </c>
      <c r="H55" s="78">
        <v>3200</v>
      </c>
      <c r="I55" s="69">
        <v>6250</v>
      </c>
      <c r="J55" s="65">
        <v>800</v>
      </c>
      <c r="K55" s="52">
        <v>3270</v>
      </c>
    </row>
    <row r="56" spans="1:11" x14ac:dyDescent="0.3">
      <c r="A56" s="106">
        <v>45444</v>
      </c>
      <c r="B56" s="48">
        <v>290</v>
      </c>
      <c r="C56" s="48">
        <v>740</v>
      </c>
      <c r="D56" s="48">
        <v>500</v>
      </c>
      <c r="E56" s="48">
        <v>20</v>
      </c>
      <c r="F56" s="69">
        <v>100</v>
      </c>
      <c r="G56" s="74">
        <v>5400</v>
      </c>
      <c r="H56" s="78">
        <v>5000</v>
      </c>
      <c r="I56" s="69">
        <v>3500</v>
      </c>
      <c r="J56" s="65">
        <v>560</v>
      </c>
      <c r="K56" s="52">
        <v>600</v>
      </c>
    </row>
    <row r="57" spans="1:11" x14ac:dyDescent="0.3">
      <c r="A57" s="106">
        <v>45474</v>
      </c>
      <c r="B57" s="48">
        <v>240</v>
      </c>
      <c r="C57" s="48">
        <v>50</v>
      </c>
      <c r="D57" s="48">
        <v>20</v>
      </c>
      <c r="E57" s="48">
        <v>56</v>
      </c>
      <c r="F57" s="69">
        <v>0</v>
      </c>
      <c r="G57" s="74">
        <v>5400</v>
      </c>
      <c r="H57" s="78">
        <v>2600</v>
      </c>
      <c r="I57" s="69">
        <v>7900</v>
      </c>
      <c r="J57" s="65">
        <v>630</v>
      </c>
      <c r="K57" s="52">
        <v>650</v>
      </c>
    </row>
    <row r="58" spans="1:11" x14ac:dyDescent="0.3">
      <c r="A58" s="106">
        <v>45505</v>
      </c>
      <c r="B58" s="48">
        <v>280</v>
      </c>
      <c r="C58" s="48">
        <v>100</v>
      </c>
      <c r="D58" s="48">
        <v>0</v>
      </c>
      <c r="E58" s="48">
        <v>45</v>
      </c>
      <c r="F58" s="69">
        <v>870</v>
      </c>
      <c r="G58" s="74">
        <v>6200</v>
      </c>
      <c r="H58" s="78">
        <v>2350</v>
      </c>
      <c r="I58" s="69">
        <v>4590</v>
      </c>
      <c r="J58" s="65">
        <v>780</v>
      </c>
      <c r="K58" s="52">
        <v>450</v>
      </c>
    </row>
    <row r="59" spans="1:11" x14ac:dyDescent="0.3">
      <c r="A59" s="106">
        <v>45536</v>
      </c>
      <c r="B59" s="48">
        <v>520</v>
      </c>
      <c r="C59" s="48">
        <v>200</v>
      </c>
      <c r="D59" s="48">
        <v>89</v>
      </c>
      <c r="E59" s="48">
        <v>0</v>
      </c>
      <c r="F59" s="69">
        <v>0</v>
      </c>
      <c r="G59" s="74">
        <v>7000</v>
      </c>
      <c r="H59" s="78">
        <v>4500</v>
      </c>
      <c r="I59" s="69">
        <v>6000</v>
      </c>
      <c r="J59" s="65">
        <v>950</v>
      </c>
      <c r="K59" s="52">
        <v>800</v>
      </c>
    </row>
    <row r="60" spans="1:11" x14ac:dyDescent="0.3">
      <c r="A60" s="106">
        <v>45566</v>
      </c>
      <c r="B60" s="48">
        <v>500</v>
      </c>
      <c r="C60" s="48">
        <v>30</v>
      </c>
      <c r="D60" s="48">
        <v>475</v>
      </c>
      <c r="E60" s="48">
        <v>0</v>
      </c>
      <c r="F60" s="69">
        <v>0</v>
      </c>
      <c r="G60" s="74">
        <v>7000</v>
      </c>
      <c r="H60" s="78">
        <v>4000</v>
      </c>
      <c r="I60" s="69">
        <v>8000</v>
      </c>
      <c r="J60" s="65">
        <v>400</v>
      </c>
      <c r="K60" s="52">
        <v>200</v>
      </c>
    </row>
    <row r="61" spans="1:11" x14ac:dyDescent="0.3">
      <c r="A61" s="106">
        <v>45597</v>
      </c>
      <c r="B61" s="48">
        <v>560</v>
      </c>
      <c r="C61" s="48">
        <v>0</v>
      </c>
      <c r="D61" s="48">
        <v>0</v>
      </c>
      <c r="E61" s="48">
        <v>90</v>
      </c>
      <c r="F61" s="69">
        <v>100</v>
      </c>
      <c r="G61" s="74">
        <v>6200</v>
      </c>
      <c r="H61" s="78">
        <v>4600</v>
      </c>
      <c r="I61" s="69">
        <v>6350</v>
      </c>
      <c r="J61" s="65">
        <v>1000</v>
      </c>
      <c r="K61" s="52">
        <v>500</v>
      </c>
    </row>
    <row r="62" spans="1:11" ht="15" thickBot="1" x14ac:dyDescent="0.35">
      <c r="A62" s="107">
        <v>45627</v>
      </c>
      <c r="B62" s="59">
        <v>320</v>
      </c>
      <c r="C62" s="59">
        <v>540</v>
      </c>
      <c r="D62" s="59">
        <v>55</v>
      </c>
      <c r="E62" s="59">
        <v>100</v>
      </c>
      <c r="F62" s="70">
        <v>0</v>
      </c>
      <c r="G62" s="75">
        <v>6200</v>
      </c>
      <c r="H62" s="79">
        <v>5000</v>
      </c>
      <c r="I62" s="80">
        <v>7500</v>
      </c>
      <c r="J62" s="66">
        <v>1200</v>
      </c>
      <c r="K62" s="53">
        <v>2010</v>
      </c>
    </row>
    <row r="63" spans="1:11" ht="15" thickBot="1" x14ac:dyDescent="0.35">
      <c r="A63" s="61" t="s">
        <v>86</v>
      </c>
      <c r="B63" s="60">
        <f>AVERAGE(B51:B62)</f>
        <v>336.75</v>
      </c>
      <c r="C63" s="60">
        <f t="shared" ref="C63:F63" si="0">AVERAGE(C51:C62)</f>
        <v>229.16666666666666</v>
      </c>
      <c r="D63" s="60">
        <f t="shared" si="0"/>
        <v>112</v>
      </c>
      <c r="E63" s="60">
        <f t="shared" si="0"/>
        <v>86.75</v>
      </c>
      <c r="F63" s="71">
        <f t="shared" si="0"/>
        <v>98.333333333333329</v>
      </c>
    </row>
  </sheetData>
  <mergeCells count="28">
    <mergeCell ref="A15:C15"/>
    <mergeCell ref="A16:C16"/>
    <mergeCell ref="A18:C21"/>
    <mergeCell ref="A9:C9"/>
    <mergeCell ref="A10:C10"/>
    <mergeCell ref="A11:C11"/>
    <mergeCell ref="A12:C12"/>
    <mergeCell ref="A13:C13"/>
    <mergeCell ref="A14:C14"/>
    <mergeCell ref="A49:F49"/>
    <mergeCell ref="J49:K49"/>
    <mergeCell ref="H49:I49"/>
    <mergeCell ref="D41:K41"/>
    <mergeCell ref="D42:K42"/>
    <mergeCell ref="D43:K43"/>
    <mergeCell ref="D44:K44"/>
    <mergeCell ref="D1:F1"/>
    <mergeCell ref="C4:D4"/>
    <mergeCell ref="A6:C6"/>
    <mergeCell ref="A7:C7"/>
    <mergeCell ref="A8:C8"/>
    <mergeCell ref="C3:D3"/>
    <mergeCell ref="I14:K14"/>
    <mergeCell ref="H7:H14"/>
    <mergeCell ref="I7:K9"/>
    <mergeCell ref="I10:K11"/>
    <mergeCell ref="I12:K12"/>
    <mergeCell ref="I13:K13"/>
  </mergeCells>
  <phoneticPr fontId="9" type="noConversion"/>
  <dataValidations count="2">
    <dataValidation type="list" allowBlank="1" showInputMessage="1" showErrorMessage="1" sqref="B41" xr:uid="{C35B8E30-2CB2-4394-8F7A-1FCF703B17EA}">
      <formula1>$A$35:$A$39</formula1>
    </dataValidation>
    <dataValidation type="list" allowBlank="1" showInputMessage="1" showErrorMessage="1" sqref="B44" xr:uid="{CE7ED4FD-8F83-474A-8EE6-5077A9FF673E}">
      <formula1>$A$51:$A$62</formula1>
    </dataValidation>
  </dataValidations>
  <hyperlinks>
    <hyperlink ref="L35" r:id="rId1" xr:uid="{00000000-0004-0000-0000-000000000000}"/>
    <hyperlink ref="L36" r:id="rId2" xr:uid="{00000000-0004-0000-0000-000001000000}"/>
    <hyperlink ref="L37" r:id="rId3" xr:uid="{00000000-0004-0000-0000-000002000000}"/>
    <hyperlink ref="L38" r:id="rId4" xr:uid="{00000000-0004-0000-0000-000003000000}"/>
    <hyperlink ref="L39" r:id="rId5" xr:uid="{00000000-0004-0000-0000-000004000000}"/>
  </hyperlinks>
  <pageMargins left="0.511811024" right="0.511811024" top="0.78740157499999996" bottom="0.78740157499999996" header="0.31496062000000002" footer="0.31496062000000002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APAGAR">
                <anchor moveWithCells="1" sizeWithCells="1">
                  <from>
                    <xdr:col>6</xdr:col>
                    <xdr:colOff>68580</xdr:colOff>
                    <xdr:row>5</xdr:row>
                    <xdr:rowOff>60960</xdr:rowOff>
                  </from>
                  <to>
                    <xdr:col>6</xdr:col>
                    <xdr:colOff>1371600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FUNC1">
                <anchor moveWithCells="1" sizeWithCells="1">
                  <from>
                    <xdr:col>6</xdr:col>
                    <xdr:colOff>68580</xdr:colOff>
                    <xdr:row>6</xdr:row>
                    <xdr:rowOff>160020</xdr:rowOff>
                  </from>
                  <to>
                    <xdr:col>6</xdr:col>
                    <xdr:colOff>1371600</xdr:colOff>
                    <xdr:row>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FUNC2">
                <anchor moveWithCells="1" sizeWithCells="1">
                  <from>
                    <xdr:col>6</xdr:col>
                    <xdr:colOff>68580</xdr:colOff>
                    <xdr:row>8</xdr:row>
                    <xdr:rowOff>7620</xdr:rowOff>
                  </from>
                  <to>
                    <xdr:col>6</xdr:col>
                    <xdr:colOff>1371600</xdr:colOff>
                    <xdr:row>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FUNC4">
                <anchor moveWithCells="1" sizeWithCells="1">
                  <from>
                    <xdr:col>6</xdr:col>
                    <xdr:colOff>68580</xdr:colOff>
                    <xdr:row>9</xdr:row>
                    <xdr:rowOff>114300</xdr:rowOff>
                  </from>
                  <to>
                    <xdr:col>6</xdr:col>
                    <xdr:colOff>1371600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9">
              <controlPr defaultSize="0" print="0" autoFill="0" autoPict="0" macro="[0]!FUNC5">
                <anchor moveWithCells="1" sizeWithCells="1">
                  <from>
                    <xdr:col>6</xdr:col>
                    <xdr:colOff>68580</xdr:colOff>
                    <xdr:row>10</xdr:row>
                    <xdr:rowOff>213360</xdr:rowOff>
                  </from>
                  <to>
                    <xdr:col>6</xdr:col>
                    <xdr:colOff>1371600</xdr:colOff>
                    <xdr:row>12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0">
              <controlPr defaultSize="0" print="0" autoFill="0" autoPict="0" macro="[0]!FUNC6">
                <anchor moveWithCells="1" sizeWithCells="1">
                  <from>
                    <xdr:col>6</xdr:col>
                    <xdr:colOff>68580</xdr:colOff>
                    <xdr:row>12</xdr:row>
                    <xdr:rowOff>68580</xdr:rowOff>
                  </from>
                  <to>
                    <xdr:col>6</xdr:col>
                    <xdr:colOff>1371600</xdr:colOff>
                    <xdr:row>13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AADB7-52BD-4D07-90D9-E9171CEE9F2F}">
  <dimension ref="A1"/>
  <sheetViews>
    <sheetView zoomScale="103" workbookViewId="0">
      <selection activeCell="B2" sqref="B2"/>
    </sheetView>
  </sheetViews>
  <sheetFormatPr defaultRowHeight="14.4" x14ac:dyDescent="0.3"/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Planilha2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</dc:creator>
  <cp:lastModifiedBy>Matheus Duarte Matheus</cp:lastModifiedBy>
  <dcterms:created xsi:type="dcterms:W3CDTF">2024-12-02T11:19:59Z</dcterms:created>
  <dcterms:modified xsi:type="dcterms:W3CDTF">2024-12-18T22:26:56Z</dcterms:modified>
</cp:coreProperties>
</file>